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Útmutató" sheetId="1" state="visible" r:id="rId1"/>
    <sheet name="Terméktörzs" sheetId="2" state="visible" r:id="rId2"/>
    <sheet name="Idősz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#,##0 &quot;Ft&quot;"/>
    <numFmt numFmtId="166" formatCode="yyyy-mm-dd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FFFFFFFF"/>
      <sz val="10"/>
    </font>
    <font>
      <name val="Arial"/>
      <i val="1"/>
      <sz val="10"/>
    </font>
    <font>
      <name val="Arial"/>
      <i val="1"/>
      <color rgb="FF808080"/>
      <sz val="9"/>
    </font>
  </fonts>
  <fills count="5">
    <fill>
      <patternFill/>
    </fill>
    <fill>
      <patternFill patternType="gray125"/>
    </fill>
    <fill>
      <patternFill patternType="solid">
        <fgColor rgb="FFEC1B23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2" fillId="0" borderId="0" pivotButton="0" quotePrefix="0" xfId="0"/>
    <xf numFmtId="10" fontId="2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5" fontId="2" fillId="3" borderId="0" pivotButton="0" quotePrefix="0" xfId="0"/>
    <xf numFmtId="0" fontId="6" fillId="0" borderId="0" pivotButton="0" quotePrefix="0" xfId="0"/>
    <xf numFmtId="166" fontId="2" fillId="3" borderId="0" pivotButton="0" quotePrefix="0" xfId="0"/>
    <xf numFmtId="164" fontId="2" fillId="3" borderId="0" pivotButton="0" quotePrefix="0" xfId="0"/>
    <xf numFmtId="10" fontId="2" fillId="4" borderId="0" pivotButton="0" quotePrefix="0" xfId="0"/>
    <xf numFmtId="165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4" customWidth="1" min="8" max="8"/>
  </cols>
  <sheetData>
    <row r="1">
      <c r="A1" s="1" t="inlineStr">
        <is>
          <t>PizzaMe termelő – alapanyag adatlap</t>
        </is>
      </c>
    </row>
    <row r="2">
      <c r="A2" s="2" t="inlineStr"/>
    </row>
    <row r="3">
      <c r="A3" s="2" t="inlineStr">
        <is>
          <t>Két munkalapot kell kitölteni. A sárga cellák a kitöltendők, a szürkék maguktól számolódnak.</t>
        </is>
      </c>
    </row>
    <row r="4">
      <c r="A4" s="2" t="inlineStr"/>
    </row>
    <row r="5">
      <c r="A5" s="3" t="inlineStr">
        <is>
          <t>1. Terméktörzs – egyszer kell kitölteni</t>
        </is>
      </c>
    </row>
    <row r="6">
      <c r="A6" s="2" t="inlineStr">
        <is>
          <t>Kategória, termék, mértékegység és beszerzési ár. A mértékegység ott már ki van töltve,</t>
        </is>
      </c>
    </row>
    <row r="7">
      <c r="A7" s="2" t="inlineStr">
        <is>
          <t>ahol a meglévő PizzaMe táblákból egyértelmű volt – ezt a megjegyzés oszlop jelzi. Nézd át.</t>
        </is>
      </c>
    </row>
    <row r="8">
      <c r="A8" s="2" t="inlineStr">
        <is>
          <t>Új terméket bármikor felvehetsz egy új sorba.</t>
        </is>
      </c>
    </row>
    <row r="9">
      <c r="A9" s="2" t="inlineStr"/>
    </row>
    <row r="10">
      <c r="A10" s="3" t="inlineStr">
        <is>
          <t>2. Időszak – minden leltárnál</t>
        </is>
      </c>
    </row>
    <row r="11">
      <c r="A11" s="2" t="inlineStr">
        <is>
          <t>Egy időszak mindig a hónap 1-jétől a leltár napjáig tart (gördülő, halmozott).</t>
        </is>
      </c>
    </row>
    <row r="12">
      <c r="A12" s="2" t="inlineStr">
        <is>
          <t>A havi zárás mindig a hónap utolsó napja. Több időszak is lehet egy munkalapon,</t>
        </is>
      </c>
    </row>
    <row r="13">
      <c r="A13" s="2" t="inlineStr">
        <is>
          <t>csak legyen mindegyiknek saját azonosítója az idoszak_id oszlopban.</t>
        </is>
      </c>
    </row>
    <row r="14">
      <c r="A14" s="2" t="inlineStr"/>
    </row>
    <row r="15">
      <c r="A15" s="3" t="inlineStr">
        <is>
          <t>Az eltérés előjele</t>
        </is>
      </c>
    </row>
    <row r="16">
      <c r="A16" s="2" t="inlineStr">
        <is>
          <t>mínusz = hiány (a riportban piros)   ·   plusz = többlet (a riportban zöld)</t>
        </is>
      </c>
    </row>
    <row r="17">
      <c r="A17" s="2" t="inlineStr"/>
    </row>
    <row r="18">
      <c r="A18" s="3" t="inlineStr">
        <is>
          <t>Példa – kitöltött sor</t>
        </is>
      </c>
    </row>
    <row r="19">
      <c r="A19" s="2" t="inlineStr">
        <is>
          <t>A saját lisztes számaid a 2026. augusztusi zárásból, a hiányt mínusszal jelölve:</t>
        </is>
      </c>
    </row>
    <row r="21">
      <c r="A21" s="4" t="inlineStr">
        <is>
          <t>termek</t>
        </is>
      </c>
      <c r="B21" s="4" t="inlineStr">
        <is>
          <t>zaro_keszlet</t>
        </is>
      </c>
      <c r="C21" s="4" t="inlineStr">
        <is>
          <t>fogyas</t>
        </is>
      </c>
      <c r="D21" s="4" t="inlineStr">
        <is>
          <t>elteres</t>
        </is>
      </c>
      <c r="E21" s="4" t="inlineStr">
        <is>
          <t>elteres_%</t>
        </is>
      </c>
      <c r="F21" s="4" t="inlineStr">
        <is>
          <t>elteres_Ft</t>
        </is>
      </c>
      <c r="G21" s="4" t="inlineStr">
        <is>
          <t>megjegyzes</t>
        </is>
      </c>
    </row>
    <row r="22">
      <c r="A22" s="2" t="inlineStr">
        <is>
          <t>Liszt</t>
        </is>
      </c>
      <c r="B22" s="5" t="n">
        <v>5000</v>
      </c>
      <c r="C22" s="5" t="n">
        <v>12150</v>
      </c>
      <c r="D22" s="5" t="n">
        <v>-41</v>
      </c>
      <c r="E22" s="6">
        <f>IFERROR(D22/C22,"")</f>
        <v/>
      </c>
      <c r="F22" s="2" t="inlineStr">
        <is>
          <t>(a beszerzési árból számolódik)</t>
        </is>
      </c>
      <c r="G22" s="2" t="inlineStr">
        <is>
          <t>a te augusztusi számaid</t>
        </is>
      </c>
    </row>
    <row r="24">
      <c r="A24" s="7" t="inlineStr">
        <is>
          <t>A 41 kg önmagában soknak tűnik, de a 12 150 kg fogyáshoz mérve 0,34% – ezért kell a % a riportba.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8" customWidth="1" min="4" max="4"/>
    <col width="34" customWidth="1" min="5" max="5"/>
  </cols>
  <sheetData>
    <row r="1" ht="28" customHeight="1">
      <c r="A1" s="8" t="inlineStr">
        <is>
          <t>kategoria</t>
        </is>
      </c>
      <c r="B1" s="8" t="inlineStr">
        <is>
          <t>termek</t>
        </is>
      </c>
      <c r="C1" s="8" t="inlineStr">
        <is>
          <t>egyseg</t>
        </is>
      </c>
      <c r="D1" s="8" t="inlineStr">
        <is>
          <t>beszerzesi_ar_ft</t>
        </is>
      </c>
      <c r="E1" s="8" t="inlineStr">
        <is>
          <t>megjegyzes</t>
        </is>
      </c>
    </row>
    <row r="2">
      <c r="A2" s="9" t="inlineStr">
        <is>
          <t>Fő termékek</t>
        </is>
      </c>
      <c r="B2" s="9" t="inlineStr">
        <is>
          <t>Liszt</t>
        </is>
      </c>
      <c r="C2" s="9" t="inlineStr">
        <is>
          <t>kg</t>
        </is>
      </c>
      <c r="D2" s="10" t="n"/>
      <c r="E2" s="11" t="inlineStr">
        <is>
          <t>egység a 2020-as árlistádból</t>
        </is>
      </c>
    </row>
    <row r="3">
      <c r="A3" s="9" t="inlineStr">
        <is>
          <t>Fő termékek</t>
        </is>
      </c>
      <c r="B3" s="9" t="inlineStr">
        <is>
          <t>TK liszt</t>
        </is>
      </c>
      <c r="C3" s="9" t="inlineStr">
        <is>
          <t>kg</t>
        </is>
      </c>
      <c r="D3" s="10" t="n"/>
      <c r="E3" s="11" t="inlineStr">
        <is>
          <t>egység a 2020-as árlistádból</t>
        </is>
      </c>
    </row>
    <row r="4">
      <c r="A4" s="9" t="inlineStr">
        <is>
          <t>Fő termékek</t>
        </is>
      </c>
      <c r="B4" s="9" t="inlineStr">
        <is>
          <t>Olívaolaj</t>
        </is>
      </c>
      <c r="C4" s="9" t="inlineStr">
        <is>
          <t>L</t>
        </is>
      </c>
      <c r="D4" s="10" t="n"/>
      <c r="E4" s="11" t="inlineStr">
        <is>
          <t>egység a 2020-as árlistádból</t>
        </is>
      </c>
    </row>
    <row r="5">
      <c r="A5" s="9" t="inlineStr">
        <is>
          <t>Húsok</t>
        </is>
      </c>
      <c r="B5" s="9" t="inlineStr">
        <is>
          <t>Sonka</t>
        </is>
      </c>
      <c r="C5" s="9" t="inlineStr">
        <is>
          <t>kg</t>
        </is>
      </c>
      <c r="D5" s="10" t="n"/>
      <c r="E5" s="11" t="inlineStr">
        <is>
          <t>javasolt egység – erősítsd meg</t>
        </is>
      </c>
    </row>
    <row r="6">
      <c r="A6" s="9" t="inlineStr">
        <is>
          <t>Húsok</t>
        </is>
      </c>
      <c r="B6" s="9" t="inlineStr">
        <is>
          <t>Napolitan szalámi</t>
        </is>
      </c>
      <c r="C6" s="9" t="n"/>
      <c r="D6" s="10" t="n"/>
      <c r="E6" s="11" t="n"/>
    </row>
    <row r="7">
      <c r="A7" s="9" t="inlineStr">
        <is>
          <t>Húsok</t>
        </is>
      </c>
      <c r="B7" s="9" t="inlineStr">
        <is>
          <t>Pepperoni szalámi</t>
        </is>
      </c>
      <c r="C7" s="9" t="n"/>
      <c r="D7" s="10" t="n"/>
      <c r="E7" s="11" t="n"/>
    </row>
    <row r="8">
      <c r="A8" s="9" t="inlineStr">
        <is>
          <t>Húsok</t>
        </is>
      </c>
      <c r="B8" s="9" t="inlineStr">
        <is>
          <t>Calabra szalámi</t>
        </is>
      </c>
      <c r="C8" s="9" t="inlineStr">
        <is>
          <t>kg</t>
        </is>
      </c>
      <c r="D8" s="10" t="n"/>
      <c r="E8" s="11" t="inlineStr">
        <is>
          <t>egység a 2020-as árlistádból</t>
        </is>
      </c>
    </row>
    <row r="9">
      <c r="A9" s="9" t="inlineStr">
        <is>
          <t>Húsok</t>
        </is>
      </c>
      <c r="B9" s="9" t="inlineStr">
        <is>
          <t>Szupercsípős szalámi</t>
        </is>
      </c>
      <c r="C9" s="9" t="n"/>
      <c r="D9" s="10" t="n"/>
      <c r="E9" s="11" t="n"/>
    </row>
    <row r="10">
      <c r="A10" s="9" t="inlineStr">
        <is>
          <t>Húsok</t>
        </is>
      </c>
      <c r="B10" s="9" t="inlineStr">
        <is>
          <t>Bacon</t>
        </is>
      </c>
      <c r="C10" s="9" t="n"/>
      <c r="D10" s="10" t="n"/>
      <c r="E10" s="11" t="n"/>
    </row>
    <row r="11">
      <c r="A11" s="9" t="inlineStr">
        <is>
          <t>Húsok</t>
        </is>
      </c>
      <c r="B11" s="9" t="inlineStr">
        <is>
          <t>Gyulai kolbász</t>
        </is>
      </c>
      <c r="C11" s="9" t="n"/>
      <c r="D11" s="10" t="n"/>
      <c r="E11" s="11" t="n"/>
    </row>
    <row r="12">
      <c r="A12" s="9" t="inlineStr">
        <is>
          <t>Sajtok</t>
        </is>
      </c>
      <c r="B12" s="9" t="inlineStr">
        <is>
          <t>Mozzarella</t>
        </is>
      </c>
      <c r="C12" s="9" t="inlineStr">
        <is>
          <t>kg</t>
        </is>
      </c>
      <c r="D12" s="10" t="n"/>
      <c r="E12" s="11" t="inlineStr">
        <is>
          <t>javasolt egység – erősítsd meg</t>
        </is>
      </c>
    </row>
    <row r="13">
      <c r="A13" s="9" t="inlineStr">
        <is>
          <t>Sajtok</t>
        </is>
      </c>
      <c r="B13" s="9" t="inlineStr">
        <is>
          <t>Parmezán</t>
        </is>
      </c>
      <c r="C13" s="9" t="inlineStr">
        <is>
          <t>kg</t>
        </is>
      </c>
      <c r="D13" s="10" t="n"/>
      <c r="E13" s="11" t="inlineStr">
        <is>
          <t>egység a 2020-as árlistádból</t>
        </is>
      </c>
    </row>
    <row r="14">
      <c r="A14" s="9" t="inlineStr">
        <is>
          <t>Sajtok</t>
        </is>
      </c>
      <c r="B14" s="9" t="inlineStr">
        <is>
          <t>Gorgonzola</t>
        </is>
      </c>
      <c r="C14" s="9" t="inlineStr">
        <is>
          <t>kg</t>
        </is>
      </c>
      <c r="D14" s="10" t="n"/>
      <c r="E14" s="11" t="inlineStr">
        <is>
          <t>egység a 2020-as árlistádból</t>
        </is>
      </c>
    </row>
    <row r="15">
      <c r="A15" s="9" t="inlineStr">
        <is>
          <t>Sajtok</t>
        </is>
      </c>
      <c r="B15" s="9" t="inlineStr">
        <is>
          <t>Ricotta</t>
        </is>
      </c>
      <c r="C15" s="9" t="inlineStr">
        <is>
          <t>kg</t>
        </is>
      </c>
      <c r="D15" s="10" t="n"/>
      <c r="E15" s="11" t="inlineStr">
        <is>
          <t>egység a 2020-as árlistádból</t>
        </is>
      </c>
    </row>
    <row r="16">
      <c r="A16" s="9" t="inlineStr">
        <is>
          <t>Szárazáru</t>
        </is>
      </c>
      <c r="B16" s="9" t="inlineStr">
        <is>
          <t>Tartufata szósz</t>
        </is>
      </c>
      <c r="C16" s="9" t="n"/>
      <c r="D16" s="10" t="n"/>
      <c r="E16" s="11" t="n"/>
    </row>
    <row r="17">
      <c r="A17" s="9" t="inlineStr">
        <is>
          <t>Szárazáru</t>
        </is>
      </c>
      <c r="B17" s="9" t="inlineStr">
        <is>
          <t>Funghi mix</t>
        </is>
      </c>
      <c r="C17" s="9" t="inlineStr">
        <is>
          <t>db</t>
        </is>
      </c>
      <c r="D17" s="10" t="n"/>
      <c r="E17" s="11" t="inlineStr">
        <is>
          <t>egység a 2020-as árlistádból</t>
        </is>
      </c>
    </row>
    <row r="18">
      <c r="A18" s="9" t="inlineStr">
        <is>
          <t>Szárazáru</t>
        </is>
      </c>
      <c r="B18" s="9" t="inlineStr">
        <is>
          <t>Spenót</t>
        </is>
      </c>
      <c r="C18" s="9" t="inlineStr">
        <is>
          <t>kg</t>
        </is>
      </c>
      <c r="D18" s="10" t="n"/>
      <c r="E18" s="11" t="inlineStr">
        <is>
          <t>javasolt egység – erősítsd meg</t>
        </is>
      </c>
    </row>
    <row r="19">
      <c r="A19" s="9" t="inlineStr">
        <is>
          <t>Édességek</t>
        </is>
      </c>
      <c r="B19" s="9" t="inlineStr">
        <is>
          <t>Csokis mousse</t>
        </is>
      </c>
      <c r="C19" s="9" t="n"/>
      <c r="D19" s="10" t="n"/>
      <c r="E19" s="11" t="n"/>
    </row>
    <row r="20">
      <c r="A20" s="9" t="inlineStr">
        <is>
          <t>Édességek</t>
        </is>
      </c>
      <c r="B20" s="9" t="inlineStr">
        <is>
          <t>Tiramisu</t>
        </is>
      </c>
      <c r="C20" s="9" t="n"/>
      <c r="D20" s="10" t="n"/>
      <c r="E20" s="11" t="n"/>
    </row>
    <row r="21">
      <c r="A21" s="9" t="inlineStr">
        <is>
          <t>Édességek</t>
        </is>
      </c>
      <c r="B21" s="9" t="inlineStr">
        <is>
          <t>Profiterol</t>
        </is>
      </c>
      <c r="C21" s="9" t="n"/>
      <c r="D21" s="10" t="n"/>
      <c r="E21" s="11" t="n"/>
    </row>
    <row r="22">
      <c r="A22" s="9" t="inlineStr">
        <is>
          <t>Édességek</t>
        </is>
      </c>
      <c r="B22" s="9" t="inlineStr">
        <is>
          <t>Gelato Nutella</t>
        </is>
      </c>
      <c r="C22" s="9" t="n"/>
      <c r="D22" s="10" t="n"/>
      <c r="E22" s="11" t="n"/>
    </row>
    <row r="23">
      <c r="A23" s="9" t="inlineStr">
        <is>
          <t>Édességek</t>
        </is>
      </c>
      <c r="B23" s="9" t="inlineStr">
        <is>
          <t>Gelato Tartufata</t>
        </is>
      </c>
      <c r="C23" s="9" t="n"/>
      <c r="D23" s="10" t="n"/>
      <c r="E23" s="11" t="n"/>
    </row>
    <row r="24">
      <c r="A24" s="9" t="inlineStr">
        <is>
          <t>Édességek</t>
        </is>
      </c>
      <c r="B24" s="9" t="inlineStr">
        <is>
          <t>Gelato Pisztácia</t>
        </is>
      </c>
      <c r="C24" s="9" t="n"/>
      <c r="D24" s="10" t="n"/>
      <c r="E24" s="11" t="n"/>
    </row>
    <row r="25">
      <c r="A25" s="9" t="n"/>
      <c r="B25" s="9" t="n"/>
      <c r="C25" s="9" t="n"/>
      <c r="D25" s="10" t="n"/>
    </row>
    <row r="26">
      <c r="A26" s="9" t="n"/>
      <c r="B26" s="9" t="n"/>
      <c r="C26" s="9" t="n"/>
      <c r="D26" s="10" t="n"/>
    </row>
    <row r="27">
      <c r="A27" s="9" t="n"/>
      <c r="B27" s="9" t="n"/>
      <c r="C27" s="9" t="n"/>
      <c r="D27" s="10" t="n"/>
    </row>
    <row r="28">
      <c r="A28" s="9" t="n"/>
      <c r="B28" s="9" t="n"/>
      <c r="C28" s="9" t="n"/>
      <c r="D28" s="10" t="n"/>
    </row>
    <row r="29">
      <c r="A29" s="9" t="n"/>
      <c r="B29" s="9" t="n"/>
      <c r="C29" s="9" t="n"/>
      <c r="D29" s="10" t="n"/>
    </row>
    <row r="30">
      <c r="A30" s="9" t="n"/>
      <c r="B30" s="9" t="n"/>
      <c r="C30" s="9" t="n"/>
      <c r="D30" s="10" t="n"/>
    </row>
    <row r="31">
      <c r="A31" s="9" t="n"/>
      <c r="B31" s="9" t="n"/>
      <c r="C31" s="9" t="n"/>
      <c r="D31" s="10" t="n"/>
    </row>
    <row r="32">
      <c r="A32" s="9" t="n"/>
      <c r="B32" s="9" t="n"/>
      <c r="C32" s="9" t="n"/>
      <c r="D32" s="10" t="n"/>
    </row>
    <row r="33">
      <c r="A33" s="9" t="n"/>
      <c r="B33" s="9" t="n"/>
      <c r="C33" s="9" t="n"/>
      <c r="D33" s="10" t="n"/>
    </row>
    <row r="34">
      <c r="A34" s="9" t="n"/>
      <c r="B34" s="9" t="n"/>
      <c r="C34" s="9" t="n"/>
      <c r="D34" s="10" t="n"/>
    </row>
    <row r="35">
      <c r="A35" s="9" t="n"/>
      <c r="B35" s="9" t="n"/>
      <c r="C35" s="9" t="n"/>
      <c r="D35" s="10" t="n"/>
    </row>
    <row r="36">
      <c r="A36" s="9" t="n"/>
      <c r="B36" s="9" t="n"/>
      <c r="C36" s="9" t="n"/>
      <c r="D36" s="10" t="n"/>
    </row>
    <row r="37">
      <c r="A37" s="9" t="n"/>
      <c r="B37" s="9" t="n"/>
      <c r="C37" s="9" t="n"/>
      <c r="D37" s="10" t="n"/>
    </row>
    <row r="38">
      <c r="A38" s="9" t="n"/>
      <c r="B38" s="9" t="n"/>
      <c r="C38" s="9" t="n"/>
      <c r="D38" s="10" t="n"/>
    </row>
    <row r="39">
      <c r="A39" s="9" t="n"/>
      <c r="B39" s="9" t="n"/>
      <c r="C39" s="9" t="n"/>
      <c r="D39" s="10" t="n"/>
    </row>
    <row r="40">
      <c r="A40" s="9" t="n"/>
      <c r="B40" s="9" t="n"/>
      <c r="C40" s="9" t="n"/>
      <c r="D40" s="10" t="n"/>
    </row>
    <row r="41">
      <c r="A41" s="9" t="n"/>
      <c r="B41" s="9" t="n"/>
      <c r="C41" s="9" t="n"/>
      <c r="D41" s="10" t="n"/>
    </row>
    <row r="42">
      <c r="A42" s="9" t="n"/>
      <c r="B42" s="9" t="n"/>
      <c r="C42" s="9" t="n"/>
      <c r="D42" s="10" t="n"/>
    </row>
    <row r="43">
      <c r="A43" s="9" t="n"/>
      <c r="B43" s="9" t="n"/>
      <c r="C43" s="9" t="n"/>
      <c r="D43" s="10" t="n"/>
    </row>
    <row r="44">
      <c r="A44" s="9" t="n"/>
      <c r="B44" s="9" t="n"/>
      <c r="C44" s="9" t="n"/>
      <c r="D44" s="10" t="n"/>
    </row>
    <row r="45">
      <c r="A45" s="9" t="n"/>
      <c r="B45" s="9" t="n"/>
      <c r="C45" s="9" t="n"/>
      <c r="D45" s="10" t="n"/>
    </row>
    <row r="46">
      <c r="A46" s="9" t="n"/>
      <c r="B46" s="9" t="n"/>
      <c r="C46" s="9" t="n"/>
      <c r="D46" s="10" t="n"/>
    </row>
    <row r="47">
      <c r="A47" s="9" t="n"/>
      <c r="B47" s="9" t="n"/>
      <c r="C47" s="9" t="n"/>
      <c r="D47" s="10" t="n"/>
    </row>
    <row r="48">
      <c r="A48" s="9" t="n"/>
      <c r="B48" s="9" t="n"/>
      <c r="C48" s="9" t="n"/>
      <c r="D48" s="10" t="n"/>
    </row>
    <row r="49">
      <c r="A49" s="9" t="n"/>
      <c r="B49" s="9" t="n"/>
      <c r="C49" s="9" t="n"/>
      <c r="D49" s="10" t="n"/>
    </row>
    <row r="50">
      <c r="A50" s="9" t="n"/>
      <c r="B50" s="9" t="n"/>
      <c r="C50" s="9" t="n"/>
      <c r="D50" s="10" t="n"/>
    </row>
    <row r="51">
      <c r="A51" s="9" t="n"/>
      <c r="B51" s="9" t="n"/>
      <c r="C51" s="9" t="n"/>
      <c r="D51" s="10" t="n"/>
    </row>
    <row r="52">
      <c r="A52" s="9" t="n"/>
      <c r="B52" s="9" t="n"/>
      <c r="C52" s="9" t="n"/>
      <c r="D52" s="10" t="n"/>
    </row>
    <row r="53">
      <c r="A53" s="9" t="n"/>
      <c r="B53" s="9" t="n"/>
      <c r="C53" s="9" t="n"/>
      <c r="D53" s="10" t="n"/>
    </row>
    <row r="54">
      <c r="A54" s="9" t="n"/>
      <c r="B54" s="9" t="n"/>
      <c r="C54" s="9" t="n"/>
      <c r="D54" s="10" t="n"/>
    </row>
    <row r="55">
      <c r="A55" s="9" t="n"/>
      <c r="B55" s="9" t="n"/>
      <c r="C55" s="9" t="n"/>
      <c r="D55" s="10" t="n"/>
    </row>
    <row r="56">
      <c r="A56" s="9" t="n"/>
      <c r="B56" s="9" t="n"/>
      <c r="C56" s="9" t="n"/>
      <c r="D56" s="10" t="n"/>
    </row>
    <row r="57">
      <c r="A57" s="9" t="n"/>
      <c r="B57" s="9" t="n"/>
      <c r="C57" s="9" t="n"/>
      <c r="D57" s="10" t="n"/>
    </row>
    <row r="58">
      <c r="A58" s="9" t="n"/>
      <c r="B58" s="9" t="n"/>
      <c r="C58" s="9" t="n"/>
      <c r="D58" s="10" t="n"/>
    </row>
    <row r="59">
      <c r="A59" s="9" t="n"/>
      <c r="B59" s="9" t="n"/>
      <c r="C59" s="9" t="n"/>
      <c r="D59" s="10" t="n"/>
    </row>
    <row r="60">
      <c r="A60" s="9" t="n"/>
      <c r="B60" s="9" t="n"/>
      <c r="C60" s="9" t="n"/>
      <c r="D60" s="10" t="n"/>
    </row>
    <row r="61">
      <c r="A61" s="9" t="n"/>
      <c r="B61" s="9" t="n"/>
      <c r="C61" s="9" t="n"/>
      <c r="D61" s="10" t="n"/>
    </row>
    <row r="62">
      <c r="A62" s="9" t="n"/>
      <c r="B62" s="9" t="n"/>
      <c r="C62" s="9" t="n"/>
      <c r="D62" s="10" t="n"/>
    </row>
    <row r="63">
      <c r="A63" s="9" t="n"/>
      <c r="B63" s="9" t="n"/>
      <c r="C63" s="9" t="n"/>
      <c r="D63" s="10" t="n"/>
    </row>
    <row r="64">
      <c r="A64" s="9" t="n"/>
      <c r="B64" s="9" t="n"/>
      <c r="C64" s="9" t="n"/>
      <c r="D64" s="10" t="n"/>
    </row>
    <row r="65">
      <c r="A65" s="9" t="n"/>
      <c r="B65" s="9" t="n"/>
      <c r="C65" s="9" t="n"/>
      <c r="D65" s="10" t="n"/>
    </row>
    <row r="66">
      <c r="A66" s="9" t="n"/>
      <c r="B66" s="9" t="n"/>
      <c r="C66" s="9" t="n"/>
      <c r="D66" s="10" t="n"/>
    </row>
    <row r="67">
      <c r="A67" s="9" t="n"/>
      <c r="B67" s="9" t="n"/>
      <c r="C67" s="9" t="n"/>
      <c r="D67" s="10" t="n"/>
    </row>
    <row r="68">
      <c r="A68" s="9" t="n"/>
      <c r="B68" s="9" t="n"/>
      <c r="C68" s="9" t="n"/>
      <c r="D68" s="10" t="n"/>
    </row>
    <row r="69">
      <c r="A69" s="9" t="n"/>
      <c r="B69" s="9" t="n"/>
      <c r="C69" s="9" t="n"/>
      <c r="D69" s="10" t="n"/>
    </row>
    <row r="70">
      <c r="A70" s="9" t="n"/>
      <c r="B70" s="9" t="n"/>
      <c r="C70" s="9" t="n"/>
      <c r="D70" s="10" t="n"/>
    </row>
    <row r="71">
      <c r="A71" s="9" t="n"/>
      <c r="B71" s="9" t="n"/>
      <c r="C71" s="9" t="n"/>
      <c r="D71" s="10" t="n"/>
    </row>
    <row r="72">
      <c r="A72" s="9" t="n"/>
      <c r="B72" s="9" t="n"/>
      <c r="C72" s="9" t="n"/>
      <c r="D72" s="10" t="n"/>
    </row>
    <row r="73">
      <c r="A73" s="9" t="n"/>
      <c r="B73" s="9" t="n"/>
      <c r="C73" s="9" t="n"/>
      <c r="D73" s="10" t="n"/>
    </row>
    <row r="74">
      <c r="A74" s="9" t="n"/>
      <c r="B74" s="9" t="n"/>
      <c r="C74" s="9" t="n"/>
      <c r="D74" s="10" t="n"/>
    </row>
    <row r="75">
      <c r="A75" s="9" t="n"/>
      <c r="B75" s="9" t="n"/>
      <c r="C75" s="9" t="n"/>
      <c r="D75" s="10" t="n"/>
    </row>
    <row r="76">
      <c r="A76" s="9" t="n"/>
      <c r="B76" s="9" t="n"/>
      <c r="C76" s="9" t="n"/>
      <c r="D76" s="10" t="n"/>
    </row>
    <row r="77">
      <c r="A77" s="9" t="n"/>
      <c r="B77" s="9" t="n"/>
      <c r="C77" s="9" t="n"/>
      <c r="D77" s="10" t="n"/>
    </row>
    <row r="78">
      <c r="A78" s="9" t="n"/>
      <c r="B78" s="9" t="n"/>
      <c r="C78" s="9" t="n"/>
      <c r="D78" s="10" t="n"/>
    </row>
    <row r="79">
      <c r="A79" s="9" t="n"/>
      <c r="B79" s="9" t="n"/>
      <c r="C79" s="9" t="n"/>
      <c r="D79" s="10" t="n"/>
    </row>
    <row r="80">
      <c r="A80" s="9" t="n"/>
      <c r="B80" s="9" t="n"/>
      <c r="C80" s="9" t="n"/>
      <c r="D80" s="10" t="n"/>
    </row>
    <row r="81">
      <c r="A81" s="9" t="n"/>
      <c r="B81" s="9" t="n"/>
      <c r="C81" s="9" t="n"/>
      <c r="D81" s="10" t="n"/>
    </row>
    <row r="82">
      <c r="A82" s="9" t="n"/>
      <c r="B82" s="9" t="n"/>
      <c r="C82" s="9" t="n"/>
      <c r="D82" s="10" t="n"/>
    </row>
    <row r="83">
      <c r="A83" s="9" t="n"/>
      <c r="B83" s="9" t="n"/>
      <c r="C83" s="9" t="n"/>
      <c r="D83" s="10" t="n"/>
    </row>
  </sheetData>
  <dataValidations count="2">
    <dataValidation sqref="A2:A83" showDropDown="0" showInputMessage="0" showErrorMessage="0" allowBlank="1" type="list">
      <formula1>"Fő termékek,Húsok,Sajtok,Szárazáru,Italok,Édességek,Egyéb / eseti"</formula1>
    </dataValidation>
    <dataValidation sqref="C2:C83" showDropDown="0" showInputMessage="0" showErrorMessage="0" allowBlank="1" type="list">
      <formula1>"kg,L,db"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6" customWidth="1" min="5" max="5"/>
    <col width="14" customWidth="1" min="6" max="6"/>
    <col width="12" customWidth="1" min="7" max="7"/>
    <col width="12" customWidth="1" min="8" max="8"/>
    <col width="11" customWidth="1" min="9" max="9"/>
    <col width="14" customWidth="1" min="10" max="10"/>
    <col width="26" customWidth="1" min="11" max="11"/>
  </cols>
  <sheetData>
    <row r="1" ht="28" customHeight="1">
      <c r="A1" s="8" t="inlineStr">
        <is>
          <t>idoszak_id</t>
        </is>
      </c>
      <c r="B1" s="8" t="inlineStr">
        <is>
          <t>kezdet</t>
        </is>
      </c>
      <c r="C1" s="8" t="inlineStr">
        <is>
          <t>veg</t>
        </is>
      </c>
      <c r="D1" s="8" t="inlineStr">
        <is>
          <t>statusz</t>
        </is>
      </c>
      <c r="E1" s="8" t="inlineStr">
        <is>
          <t>termek</t>
        </is>
      </c>
      <c r="F1" s="8" t="inlineStr">
        <is>
          <t>zaro_keszlet</t>
        </is>
      </c>
      <c r="G1" s="8" t="inlineStr">
        <is>
          <t>fogyas</t>
        </is>
      </c>
      <c r="H1" s="8" t="inlineStr">
        <is>
          <t>elteres</t>
        </is>
      </c>
      <c r="I1" s="8" t="inlineStr">
        <is>
          <t>elteres_%</t>
        </is>
      </c>
      <c r="J1" s="8" t="inlineStr">
        <is>
          <t>elteres_Ft</t>
        </is>
      </c>
      <c r="K1" s="8" t="inlineStr">
        <is>
          <t>megjegyzes</t>
        </is>
      </c>
    </row>
    <row r="2">
      <c r="A2" s="9" t="inlineStr">
        <is>
          <t>2026-08-zaras</t>
        </is>
      </c>
      <c r="B2" s="12" t="n">
        <v>46235</v>
      </c>
      <c r="C2" s="12" t="n">
        <v>46265</v>
      </c>
      <c r="D2" s="9" t="inlineStr">
        <is>
          <t>havi zaras</t>
        </is>
      </c>
      <c r="E2" s="9" t="inlineStr">
        <is>
          <t>Liszt</t>
        </is>
      </c>
      <c r="F2" s="13" t="n"/>
      <c r="G2" s="13" t="n"/>
      <c r="H2" s="13" t="n"/>
      <c r="I2" s="14">
        <f>IFERROR(H2/G2,"")</f>
        <v/>
      </c>
      <c r="J2" s="15">
        <f>IFERROR(H2*INDEX('Terméktörzs'!$D$2:$D$83,MATCH(E2,'Terméktörzs'!$B$2:$B$83,0)),"")</f>
        <v/>
      </c>
      <c r="K2" s="9" t="n"/>
    </row>
    <row r="3">
      <c r="A3" s="9" t="inlineStr">
        <is>
          <t>2026-08-zaras</t>
        </is>
      </c>
      <c r="B3" s="12" t="n">
        <v>46235</v>
      </c>
      <c r="C3" s="12" t="n">
        <v>46265</v>
      </c>
      <c r="D3" s="9" t="inlineStr">
        <is>
          <t>havi zaras</t>
        </is>
      </c>
      <c r="E3" s="9" t="inlineStr">
        <is>
          <t>TK liszt</t>
        </is>
      </c>
      <c r="F3" s="13" t="n"/>
      <c r="G3" s="13" t="n"/>
      <c r="H3" s="13" t="n"/>
      <c r="I3" s="14">
        <f>IFERROR(H3/G3,"")</f>
        <v/>
      </c>
      <c r="J3" s="15">
        <f>IFERROR(H3*INDEX('Terméktörzs'!$D$2:$D$83,MATCH(E3,'Terméktörzs'!$B$2:$B$83,0)),"")</f>
        <v/>
      </c>
      <c r="K3" s="9" t="n"/>
    </row>
    <row r="4">
      <c r="A4" s="9" t="inlineStr">
        <is>
          <t>2026-08-zaras</t>
        </is>
      </c>
      <c r="B4" s="12" t="n">
        <v>46235</v>
      </c>
      <c r="C4" s="12" t="n">
        <v>46265</v>
      </c>
      <c r="D4" s="9" t="inlineStr">
        <is>
          <t>havi zaras</t>
        </is>
      </c>
      <c r="E4" s="9" t="inlineStr">
        <is>
          <t>Olívaolaj</t>
        </is>
      </c>
      <c r="F4" s="13" t="n"/>
      <c r="G4" s="13" t="n"/>
      <c r="H4" s="13" t="n"/>
      <c r="I4" s="14">
        <f>IFERROR(H4/G4,"")</f>
        <v/>
      </c>
      <c r="J4" s="15">
        <f>IFERROR(H4*INDEX('Terméktörzs'!$D$2:$D$83,MATCH(E4,'Terméktörzs'!$B$2:$B$83,0)),"")</f>
        <v/>
      </c>
      <c r="K4" s="9" t="n"/>
    </row>
    <row r="5">
      <c r="A5" s="9" t="inlineStr">
        <is>
          <t>2026-08-zaras</t>
        </is>
      </c>
      <c r="B5" s="12" t="n">
        <v>46235</v>
      </c>
      <c r="C5" s="12" t="n">
        <v>46265</v>
      </c>
      <c r="D5" s="9" t="inlineStr">
        <is>
          <t>havi zaras</t>
        </is>
      </c>
      <c r="E5" s="9" t="inlineStr">
        <is>
          <t>Sonka</t>
        </is>
      </c>
      <c r="F5" s="13" t="n"/>
      <c r="G5" s="13" t="n"/>
      <c r="H5" s="13" t="n"/>
      <c r="I5" s="14">
        <f>IFERROR(H5/G5,"")</f>
        <v/>
      </c>
      <c r="J5" s="15">
        <f>IFERROR(H5*INDEX('Terméktörzs'!$D$2:$D$83,MATCH(E5,'Terméktörzs'!$B$2:$B$83,0)),"")</f>
        <v/>
      </c>
      <c r="K5" s="9" t="n"/>
    </row>
    <row r="6">
      <c r="A6" s="9" t="inlineStr">
        <is>
          <t>2026-08-zaras</t>
        </is>
      </c>
      <c r="B6" s="12" t="n">
        <v>46235</v>
      </c>
      <c r="C6" s="12" t="n">
        <v>46265</v>
      </c>
      <c r="D6" s="9" t="inlineStr">
        <is>
          <t>havi zaras</t>
        </is>
      </c>
      <c r="E6" s="9" t="inlineStr">
        <is>
          <t>Napolitan szalámi</t>
        </is>
      </c>
      <c r="F6" s="13" t="n"/>
      <c r="G6" s="13" t="n"/>
      <c r="H6" s="13" t="n"/>
      <c r="I6" s="14">
        <f>IFERROR(H6/G6,"")</f>
        <v/>
      </c>
      <c r="J6" s="15">
        <f>IFERROR(H6*INDEX('Terméktörzs'!$D$2:$D$83,MATCH(E6,'Terméktörzs'!$B$2:$B$83,0)),"")</f>
        <v/>
      </c>
      <c r="K6" s="9" t="n"/>
    </row>
    <row r="7">
      <c r="A7" s="9" t="inlineStr">
        <is>
          <t>2026-08-zaras</t>
        </is>
      </c>
      <c r="B7" s="12" t="n">
        <v>46235</v>
      </c>
      <c r="C7" s="12" t="n">
        <v>46265</v>
      </c>
      <c r="D7" s="9" t="inlineStr">
        <is>
          <t>havi zaras</t>
        </is>
      </c>
      <c r="E7" s="9" t="inlineStr">
        <is>
          <t>Pepperoni szalámi</t>
        </is>
      </c>
      <c r="F7" s="13" t="n"/>
      <c r="G7" s="13" t="n"/>
      <c r="H7" s="13" t="n"/>
      <c r="I7" s="14">
        <f>IFERROR(H7/G7,"")</f>
        <v/>
      </c>
      <c r="J7" s="15">
        <f>IFERROR(H7*INDEX('Terméktörzs'!$D$2:$D$83,MATCH(E7,'Terméktörzs'!$B$2:$B$83,0)),"")</f>
        <v/>
      </c>
      <c r="K7" s="9" t="n"/>
    </row>
    <row r="8">
      <c r="A8" s="9" t="inlineStr">
        <is>
          <t>2026-08-zaras</t>
        </is>
      </c>
      <c r="B8" s="12" t="n">
        <v>46235</v>
      </c>
      <c r="C8" s="12" t="n">
        <v>46265</v>
      </c>
      <c r="D8" s="9" t="inlineStr">
        <is>
          <t>havi zaras</t>
        </is>
      </c>
      <c r="E8" s="9" t="inlineStr">
        <is>
          <t>Calabra szalámi</t>
        </is>
      </c>
      <c r="F8" s="13" t="n"/>
      <c r="G8" s="13" t="n"/>
      <c r="H8" s="13" t="n"/>
      <c r="I8" s="14">
        <f>IFERROR(H8/G8,"")</f>
        <v/>
      </c>
      <c r="J8" s="15">
        <f>IFERROR(H8*INDEX('Terméktörzs'!$D$2:$D$83,MATCH(E8,'Terméktörzs'!$B$2:$B$83,0)),"")</f>
        <v/>
      </c>
      <c r="K8" s="9" t="n"/>
    </row>
    <row r="9">
      <c r="A9" s="9" t="inlineStr">
        <is>
          <t>2026-08-zaras</t>
        </is>
      </c>
      <c r="B9" s="12" t="n">
        <v>46235</v>
      </c>
      <c r="C9" s="12" t="n">
        <v>46265</v>
      </c>
      <c r="D9" s="9" t="inlineStr">
        <is>
          <t>havi zaras</t>
        </is>
      </c>
      <c r="E9" s="9" t="inlineStr">
        <is>
          <t>Szupercsípős szalámi</t>
        </is>
      </c>
      <c r="F9" s="13" t="n"/>
      <c r="G9" s="13" t="n"/>
      <c r="H9" s="13" t="n"/>
      <c r="I9" s="14">
        <f>IFERROR(H9/G9,"")</f>
        <v/>
      </c>
      <c r="J9" s="15">
        <f>IFERROR(H9*INDEX('Terméktörzs'!$D$2:$D$83,MATCH(E9,'Terméktörzs'!$B$2:$B$83,0)),"")</f>
        <v/>
      </c>
      <c r="K9" s="9" t="n"/>
    </row>
    <row r="10">
      <c r="A10" s="9" t="inlineStr">
        <is>
          <t>2026-08-zaras</t>
        </is>
      </c>
      <c r="B10" s="12" t="n">
        <v>46235</v>
      </c>
      <c r="C10" s="12" t="n">
        <v>46265</v>
      </c>
      <c r="D10" s="9" t="inlineStr">
        <is>
          <t>havi zaras</t>
        </is>
      </c>
      <c r="E10" s="9" t="inlineStr">
        <is>
          <t>Bacon</t>
        </is>
      </c>
      <c r="F10" s="13" t="n"/>
      <c r="G10" s="13" t="n"/>
      <c r="H10" s="13" t="n"/>
      <c r="I10" s="14">
        <f>IFERROR(H10/G10,"")</f>
        <v/>
      </c>
      <c r="J10" s="15">
        <f>IFERROR(H10*INDEX('Terméktörzs'!$D$2:$D$83,MATCH(E10,'Terméktörzs'!$B$2:$B$83,0)),"")</f>
        <v/>
      </c>
      <c r="K10" s="9" t="n"/>
    </row>
    <row r="11">
      <c r="A11" s="9" t="inlineStr">
        <is>
          <t>2026-08-zaras</t>
        </is>
      </c>
      <c r="B11" s="12" t="n">
        <v>46235</v>
      </c>
      <c r="C11" s="12" t="n">
        <v>46265</v>
      </c>
      <c r="D11" s="9" t="inlineStr">
        <is>
          <t>havi zaras</t>
        </is>
      </c>
      <c r="E11" s="9" t="inlineStr">
        <is>
          <t>Gyulai kolbász</t>
        </is>
      </c>
      <c r="F11" s="13" t="n"/>
      <c r="G11" s="13" t="n"/>
      <c r="H11" s="13" t="n"/>
      <c r="I11" s="14">
        <f>IFERROR(H11/G11,"")</f>
        <v/>
      </c>
      <c r="J11" s="15">
        <f>IFERROR(H11*INDEX('Terméktörzs'!$D$2:$D$83,MATCH(E11,'Terméktörzs'!$B$2:$B$83,0)),"")</f>
        <v/>
      </c>
      <c r="K11" s="9" t="n"/>
    </row>
    <row r="12">
      <c r="A12" s="9" t="inlineStr">
        <is>
          <t>2026-08-zaras</t>
        </is>
      </c>
      <c r="B12" s="12" t="n">
        <v>46235</v>
      </c>
      <c r="C12" s="12" t="n">
        <v>46265</v>
      </c>
      <c r="D12" s="9" t="inlineStr">
        <is>
          <t>havi zaras</t>
        </is>
      </c>
      <c r="E12" s="9" t="inlineStr">
        <is>
          <t>Mozzarella</t>
        </is>
      </c>
      <c r="F12" s="13" t="n"/>
      <c r="G12" s="13" t="n"/>
      <c r="H12" s="13" t="n"/>
      <c r="I12" s="14">
        <f>IFERROR(H12/G12,"")</f>
        <v/>
      </c>
      <c r="J12" s="15">
        <f>IFERROR(H12*INDEX('Terméktörzs'!$D$2:$D$83,MATCH(E12,'Terméktörzs'!$B$2:$B$83,0)),"")</f>
        <v/>
      </c>
      <c r="K12" s="9" t="n"/>
    </row>
    <row r="13">
      <c r="A13" s="9" t="inlineStr">
        <is>
          <t>2026-08-zaras</t>
        </is>
      </c>
      <c r="B13" s="12" t="n">
        <v>46235</v>
      </c>
      <c r="C13" s="12" t="n">
        <v>46265</v>
      </c>
      <c r="D13" s="9" t="inlineStr">
        <is>
          <t>havi zaras</t>
        </is>
      </c>
      <c r="E13" s="9" t="inlineStr">
        <is>
          <t>Parmezán</t>
        </is>
      </c>
      <c r="F13" s="13" t="n"/>
      <c r="G13" s="13" t="n"/>
      <c r="H13" s="13" t="n"/>
      <c r="I13" s="14">
        <f>IFERROR(H13/G13,"")</f>
        <v/>
      </c>
      <c r="J13" s="15">
        <f>IFERROR(H13*INDEX('Terméktörzs'!$D$2:$D$83,MATCH(E13,'Terméktörzs'!$B$2:$B$83,0)),"")</f>
        <v/>
      </c>
      <c r="K13" s="9" t="n"/>
    </row>
    <row r="14">
      <c r="A14" s="9" t="inlineStr">
        <is>
          <t>2026-08-zaras</t>
        </is>
      </c>
      <c r="B14" s="12" t="n">
        <v>46235</v>
      </c>
      <c r="C14" s="12" t="n">
        <v>46265</v>
      </c>
      <c r="D14" s="9" t="inlineStr">
        <is>
          <t>havi zaras</t>
        </is>
      </c>
      <c r="E14" s="9" t="inlineStr">
        <is>
          <t>Gorgonzola</t>
        </is>
      </c>
      <c r="F14" s="13" t="n"/>
      <c r="G14" s="13" t="n"/>
      <c r="H14" s="13" t="n"/>
      <c r="I14" s="14">
        <f>IFERROR(H14/G14,"")</f>
        <v/>
      </c>
      <c r="J14" s="15">
        <f>IFERROR(H14*INDEX('Terméktörzs'!$D$2:$D$83,MATCH(E14,'Terméktörzs'!$B$2:$B$83,0)),"")</f>
        <v/>
      </c>
      <c r="K14" s="9" t="n"/>
    </row>
    <row r="15">
      <c r="A15" s="9" t="inlineStr">
        <is>
          <t>2026-08-zaras</t>
        </is>
      </c>
      <c r="B15" s="12" t="n">
        <v>46235</v>
      </c>
      <c r="C15" s="12" t="n">
        <v>46265</v>
      </c>
      <c r="D15" s="9" t="inlineStr">
        <is>
          <t>havi zaras</t>
        </is>
      </c>
      <c r="E15" s="9" t="inlineStr">
        <is>
          <t>Ricotta</t>
        </is>
      </c>
      <c r="F15" s="13" t="n"/>
      <c r="G15" s="13" t="n"/>
      <c r="H15" s="13" t="n"/>
      <c r="I15" s="14">
        <f>IFERROR(H15/G15,"")</f>
        <v/>
      </c>
      <c r="J15" s="15">
        <f>IFERROR(H15*INDEX('Terméktörzs'!$D$2:$D$83,MATCH(E15,'Terméktörzs'!$B$2:$B$83,0)),"")</f>
        <v/>
      </c>
      <c r="K15" s="9" t="n"/>
    </row>
    <row r="16">
      <c r="A16" s="9" t="inlineStr">
        <is>
          <t>2026-08-zaras</t>
        </is>
      </c>
      <c r="B16" s="12" t="n">
        <v>46235</v>
      </c>
      <c r="C16" s="12" t="n">
        <v>46265</v>
      </c>
      <c r="D16" s="9" t="inlineStr">
        <is>
          <t>havi zaras</t>
        </is>
      </c>
      <c r="E16" s="9" t="inlineStr">
        <is>
          <t>Tartufata szósz</t>
        </is>
      </c>
      <c r="F16" s="13" t="n"/>
      <c r="G16" s="13" t="n"/>
      <c r="H16" s="13" t="n"/>
      <c r="I16" s="14">
        <f>IFERROR(H16/G16,"")</f>
        <v/>
      </c>
      <c r="J16" s="15">
        <f>IFERROR(H16*INDEX('Terméktörzs'!$D$2:$D$83,MATCH(E16,'Terméktörzs'!$B$2:$B$83,0)),"")</f>
        <v/>
      </c>
      <c r="K16" s="9" t="n"/>
    </row>
    <row r="17">
      <c r="A17" s="9" t="inlineStr">
        <is>
          <t>2026-08-zaras</t>
        </is>
      </c>
      <c r="B17" s="12" t="n">
        <v>46235</v>
      </c>
      <c r="C17" s="12" t="n">
        <v>46265</v>
      </c>
      <c r="D17" s="9" t="inlineStr">
        <is>
          <t>havi zaras</t>
        </is>
      </c>
      <c r="E17" s="9" t="inlineStr">
        <is>
          <t>Funghi mix</t>
        </is>
      </c>
      <c r="F17" s="13" t="n"/>
      <c r="G17" s="13" t="n"/>
      <c r="H17" s="13" t="n"/>
      <c r="I17" s="14">
        <f>IFERROR(H17/G17,"")</f>
        <v/>
      </c>
      <c r="J17" s="15">
        <f>IFERROR(H17*INDEX('Terméktörzs'!$D$2:$D$83,MATCH(E17,'Terméktörzs'!$B$2:$B$83,0)),"")</f>
        <v/>
      </c>
      <c r="K17" s="9" t="n"/>
    </row>
    <row r="18">
      <c r="A18" s="9" t="inlineStr">
        <is>
          <t>2026-08-zaras</t>
        </is>
      </c>
      <c r="B18" s="12" t="n">
        <v>46235</v>
      </c>
      <c r="C18" s="12" t="n">
        <v>46265</v>
      </c>
      <c r="D18" s="9" t="inlineStr">
        <is>
          <t>havi zaras</t>
        </is>
      </c>
      <c r="E18" s="9" t="inlineStr">
        <is>
          <t>Spenót</t>
        </is>
      </c>
      <c r="F18" s="13" t="n"/>
      <c r="G18" s="13" t="n"/>
      <c r="H18" s="13" t="n"/>
      <c r="I18" s="14">
        <f>IFERROR(H18/G18,"")</f>
        <v/>
      </c>
      <c r="J18" s="15">
        <f>IFERROR(H18*INDEX('Terméktörzs'!$D$2:$D$83,MATCH(E18,'Terméktörzs'!$B$2:$B$83,0)),"")</f>
        <v/>
      </c>
      <c r="K18" s="9" t="n"/>
    </row>
    <row r="19">
      <c r="A19" s="9" t="inlineStr">
        <is>
          <t>2026-08-zaras</t>
        </is>
      </c>
      <c r="B19" s="12" t="n">
        <v>46235</v>
      </c>
      <c r="C19" s="12" t="n">
        <v>46265</v>
      </c>
      <c r="D19" s="9" t="inlineStr">
        <is>
          <t>havi zaras</t>
        </is>
      </c>
      <c r="E19" s="9" t="inlineStr">
        <is>
          <t>Csokis mousse</t>
        </is>
      </c>
      <c r="F19" s="13" t="n"/>
      <c r="G19" s="13" t="n"/>
      <c r="H19" s="13" t="n"/>
      <c r="I19" s="14">
        <f>IFERROR(H19/G19,"")</f>
        <v/>
      </c>
      <c r="J19" s="15">
        <f>IFERROR(H19*INDEX('Terméktörzs'!$D$2:$D$83,MATCH(E19,'Terméktörzs'!$B$2:$B$83,0)),"")</f>
        <v/>
      </c>
      <c r="K19" s="9" t="n"/>
    </row>
    <row r="20">
      <c r="A20" s="9" t="inlineStr">
        <is>
          <t>2026-08-zaras</t>
        </is>
      </c>
      <c r="B20" s="12" t="n">
        <v>46235</v>
      </c>
      <c r="C20" s="12" t="n">
        <v>46265</v>
      </c>
      <c r="D20" s="9" t="inlineStr">
        <is>
          <t>havi zaras</t>
        </is>
      </c>
      <c r="E20" s="9" t="inlineStr">
        <is>
          <t>Tiramisu</t>
        </is>
      </c>
      <c r="F20" s="13" t="n"/>
      <c r="G20" s="13" t="n"/>
      <c r="H20" s="13" t="n"/>
      <c r="I20" s="14">
        <f>IFERROR(H20/G20,"")</f>
        <v/>
      </c>
      <c r="J20" s="15">
        <f>IFERROR(H20*INDEX('Terméktörzs'!$D$2:$D$83,MATCH(E20,'Terméktörzs'!$B$2:$B$83,0)),"")</f>
        <v/>
      </c>
      <c r="K20" s="9" t="n"/>
    </row>
    <row r="21">
      <c r="A21" s="9" t="inlineStr">
        <is>
          <t>2026-08-zaras</t>
        </is>
      </c>
      <c r="B21" s="12" t="n">
        <v>46235</v>
      </c>
      <c r="C21" s="12" t="n">
        <v>46265</v>
      </c>
      <c r="D21" s="9" t="inlineStr">
        <is>
          <t>havi zaras</t>
        </is>
      </c>
      <c r="E21" s="9" t="inlineStr">
        <is>
          <t>Profiterol</t>
        </is>
      </c>
      <c r="F21" s="13" t="n"/>
      <c r="G21" s="13" t="n"/>
      <c r="H21" s="13" t="n"/>
      <c r="I21" s="14">
        <f>IFERROR(H21/G21,"")</f>
        <v/>
      </c>
      <c r="J21" s="15">
        <f>IFERROR(H21*INDEX('Terméktörzs'!$D$2:$D$83,MATCH(E21,'Terméktörzs'!$B$2:$B$83,0)),"")</f>
        <v/>
      </c>
      <c r="K21" s="9" t="n"/>
    </row>
    <row r="22">
      <c r="A22" s="9" t="inlineStr">
        <is>
          <t>2026-08-zaras</t>
        </is>
      </c>
      <c r="B22" s="12" t="n">
        <v>46235</v>
      </c>
      <c r="C22" s="12" t="n">
        <v>46265</v>
      </c>
      <c r="D22" s="9" t="inlineStr">
        <is>
          <t>havi zaras</t>
        </is>
      </c>
      <c r="E22" s="9" t="inlineStr">
        <is>
          <t>Gelato Nutella</t>
        </is>
      </c>
      <c r="F22" s="13" t="n"/>
      <c r="G22" s="13" t="n"/>
      <c r="H22" s="13" t="n"/>
      <c r="I22" s="14">
        <f>IFERROR(H22/G22,"")</f>
        <v/>
      </c>
      <c r="J22" s="15">
        <f>IFERROR(H22*INDEX('Terméktörzs'!$D$2:$D$83,MATCH(E22,'Terméktörzs'!$B$2:$B$83,0)),"")</f>
        <v/>
      </c>
      <c r="K22" s="9" t="n"/>
    </row>
    <row r="23">
      <c r="A23" s="9" t="inlineStr">
        <is>
          <t>2026-08-zaras</t>
        </is>
      </c>
      <c r="B23" s="12" t="n">
        <v>46235</v>
      </c>
      <c r="C23" s="12" t="n">
        <v>46265</v>
      </c>
      <c r="D23" s="9" t="inlineStr">
        <is>
          <t>havi zaras</t>
        </is>
      </c>
      <c r="E23" s="9" t="inlineStr">
        <is>
          <t>Gelato Tartufata</t>
        </is>
      </c>
      <c r="F23" s="13" t="n"/>
      <c r="G23" s="13" t="n"/>
      <c r="H23" s="13" t="n"/>
      <c r="I23" s="14">
        <f>IFERROR(H23/G23,"")</f>
        <v/>
      </c>
      <c r="J23" s="15">
        <f>IFERROR(H23*INDEX('Terméktörzs'!$D$2:$D$83,MATCH(E23,'Terméktörzs'!$B$2:$B$83,0)),"")</f>
        <v/>
      </c>
      <c r="K23" s="9" t="n"/>
    </row>
    <row r="24">
      <c r="A24" s="9" t="inlineStr">
        <is>
          <t>2026-08-zaras</t>
        </is>
      </c>
      <c r="B24" s="12" t="n">
        <v>46235</v>
      </c>
      <c r="C24" s="12" t="n">
        <v>46265</v>
      </c>
      <c r="D24" s="9" t="inlineStr">
        <is>
          <t>havi zaras</t>
        </is>
      </c>
      <c r="E24" s="9" t="inlineStr">
        <is>
          <t>Gelato Pisztácia</t>
        </is>
      </c>
      <c r="F24" s="13" t="n"/>
      <c r="G24" s="13" t="n"/>
      <c r="H24" s="13" t="n"/>
      <c r="I24" s="14">
        <f>IFERROR(H24/G24,"")</f>
        <v/>
      </c>
      <c r="J24" s="15">
        <f>IFERROR(H24*INDEX('Terméktörzs'!$D$2:$D$83,MATCH(E24,'Terméktörzs'!$B$2:$B$83,0)),"")</f>
        <v/>
      </c>
      <c r="K24" s="9" t="n"/>
    </row>
    <row r="26">
      <c r="A26" s="11" t="inlineStr">
        <is>
          <t>Új időszakhoz másold le a fenti sorokat, és írd át az idoszak_id, kezdet, veg és statusz oszlopot. A sárga cellák a kitöltendők; az eltérés_% és az eltérés_Ft magától számolódik.</t>
        </is>
      </c>
    </row>
  </sheetData>
  <dataValidations count="2">
    <dataValidation sqref="D2:D224" showDropDown="0" showInputMessage="0" showErrorMessage="0" allowBlank="1" type="list">
      <formula1>"reszeredmeny,havi zaras"</formula1>
    </dataValidation>
    <dataValidation sqref="E2:E224" showDropDown="0" showInputMessage="0" showErrorMessage="0" allowBlank="1" type="list">
      <formula1>='Terméktörzs'!$B$2:$B$83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2026-09-05T17:21:39Z</dcterms:created>
  <dcterms:modified xsi:type="dcterms:W3CDTF">2026-09-05T17:21:39Z</dcterms:modified>
</cp:coreProperties>
</file>